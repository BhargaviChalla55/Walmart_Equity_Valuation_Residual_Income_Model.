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2e62534b71812a4/Desktop/2nd Sem/691 Accounting theory and Analytics/Group Projects/Group Project_2/"/>
    </mc:Choice>
  </mc:AlternateContent>
  <xr:revisionPtr revIDLastSave="464" documentId="11_9CD6CF60DBDF55FD603C01E2AA452333430EBD6C" xr6:coauthVersionLast="47" xr6:coauthVersionMax="47" xr10:uidLastSave="{0131A54E-3587-4964-939D-33E9C56360F5}"/>
  <bookViews>
    <workbookView xWindow="-108" yWindow="-108" windowWidth="23256" windowHeight="12456" activeTab="2" xr2:uid="{00000000-000D-0000-FFFF-FFFF00000000}"/>
  </bookViews>
  <sheets>
    <sheet name="Baseline Forecast " sheetId="5" r:id="rId1"/>
    <sheet name="Sensitivity Analysis 1" sheetId="4" r:id="rId2"/>
    <sheet name="Sensitivity Analysis 2" sheetId="7" r:id="rId3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7" l="1"/>
  <c r="J16" i="7"/>
  <c r="J15" i="7"/>
  <c r="J17" i="7"/>
  <c r="B20" i="7"/>
  <c r="B21" i="7"/>
  <c r="B22" i="7"/>
  <c r="C8" i="7"/>
  <c r="B3" i="7"/>
  <c r="B2" i="7"/>
  <c r="B1" i="7"/>
  <c r="C13" i="7"/>
  <c r="C14" i="7"/>
  <c r="C15" i="7"/>
  <c r="C16" i="7"/>
  <c r="C17" i="7"/>
  <c r="C9" i="7"/>
  <c r="C10" i="7"/>
  <c r="C11" i="7"/>
  <c r="D8" i="7"/>
  <c r="D13" i="7"/>
  <c r="D14" i="7"/>
  <c r="D15" i="7"/>
  <c r="D16" i="7"/>
  <c r="D17" i="7"/>
  <c r="D9" i="7"/>
  <c r="D10" i="7"/>
  <c r="D11" i="7"/>
  <c r="E8" i="7"/>
  <c r="E13" i="7"/>
  <c r="E14" i="7"/>
  <c r="E15" i="7"/>
  <c r="E16" i="7"/>
  <c r="E17" i="7"/>
  <c r="E9" i="7"/>
  <c r="E10" i="7"/>
  <c r="E11" i="7"/>
  <c r="F8" i="7"/>
  <c r="F13" i="7"/>
  <c r="F14" i="7"/>
  <c r="F15" i="7"/>
  <c r="F16" i="7"/>
  <c r="F17" i="7"/>
  <c r="F9" i="7"/>
  <c r="F10" i="7"/>
  <c r="F11" i="7"/>
  <c r="G8" i="7"/>
  <c r="G13" i="7"/>
  <c r="G14" i="7"/>
  <c r="G15" i="7"/>
  <c r="G16" i="7"/>
  <c r="G17" i="7"/>
  <c r="G9" i="7"/>
  <c r="G10" i="7"/>
  <c r="G11" i="7"/>
  <c r="H8" i="7"/>
  <c r="H13" i="7"/>
  <c r="H14" i="7"/>
  <c r="H15" i="7"/>
  <c r="H16" i="7"/>
  <c r="H17" i="7"/>
  <c r="H9" i="7"/>
  <c r="H10" i="7"/>
  <c r="H11" i="7"/>
  <c r="I8" i="7"/>
  <c r="I13" i="7"/>
  <c r="I14" i="7"/>
  <c r="I15" i="7"/>
  <c r="I16" i="7"/>
  <c r="I17" i="7"/>
  <c r="B19" i="7"/>
  <c r="I9" i="7"/>
  <c r="I10" i="7"/>
  <c r="I11" i="7"/>
  <c r="B22" i="4"/>
  <c r="C22" i="4"/>
  <c r="A23" i="4"/>
  <c r="N16" i="4"/>
  <c r="M16" i="4"/>
  <c r="L16" i="4"/>
  <c r="K16" i="4"/>
  <c r="J16" i="4"/>
  <c r="C8" i="4"/>
  <c r="I7" i="4"/>
  <c r="H7" i="4"/>
  <c r="G7" i="4"/>
  <c r="F7" i="4"/>
  <c r="E7" i="4"/>
  <c r="D7" i="4"/>
  <c r="C7" i="4"/>
  <c r="B3" i="4"/>
  <c r="B2" i="4"/>
  <c r="B1" i="4"/>
  <c r="P10" i="5"/>
  <c r="B1" i="5"/>
  <c r="C13" i="5"/>
  <c r="B3" i="5"/>
  <c r="C14" i="5"/>
  <c r="C15" i="5"/>
  <c r="C16" i="5"/>
  <c r="C17" i="5"/>
  <c r="C9" i="5"/>
  <c r="B2" i="5"/>
  <c r="C10" i="5"/>
  <c r="C11" i="5"/>
  <c r="D8" i="5"/>
  <c r="D13" i="5"/>
  <c r="D14" i="5"/>
  <c r="D15" i="5"/>
  <c r="D16" i="5"/>
  <c r="D17" i="5"/>
  <c r="D9" i="5"/>
  <c r="D10" i="5"/>
  <c r="D11" i="5"/>
  <c r="E8" i="5"/>
  <c r="E13" i="5"/>
  <c r="E14" i="5"/>
  <c r="E15" i="5"/>
  <c r="E16" i="5"/>
  <c r="E17" i="5"/>
  <c r="E9" i="5"/>
  <c r="E10" i="5"/>
  <c r="E11" i="5"/>
  <c r="F8" i="5"/>
  <c r="F13" i="5"/>
  <c r="F14" i="5"/>
  <c r="F15" i="5"/>
  <c r="F16" i="5"/>
  <c r="F17" i="5"/>
  <c r="F9" i="5"/>
  <c r="F10" i="5"/>
  <c r="F11" i="5"/>
  <c r="G8" i="5"/>
  <c r="G13" i="5"/>
  <c r="G14" i="5"/>
  <c r="G15" i="5"/>
  <c r="G16" i="5"/>
  <c r="G17" i="5"/>
  <c r="G9" i="5"/>
  <c r="G10" i="5"/>
  <c r="G11" i="5"/>
  <c r="H8" i="5"/>
  <c r="H13" i="5"/>
  <c r="H14" i="5"/>
  <c r="H15" i="5"/>
  <c r="H16" i="5"/>
  <c r="H17" i="5"/>
  <c r="H9" i="5"/>
  <c r="H10" i="5"/>
  <c r="H11" i="5"/>
  <c r="I8" i="5"/>
  <c r="I13" i="5"/>
  <c r="I14" i="5"/>
  <c r="I15" i="5"/>
  <c r="I16" i="5"/>
  <c r="I17" i="5"/>
  <c r="B18" i="5"/>
  <c r="B19" i="5"/>
  <c r="J16" i="5"/>
  <c r="J17" i="5"/>
  <c r="B20" i="5"/>
  <c r="B21" i="5"/>
  <c r="B22" i="5"/>
  <c r="I9" i="5"/>
  <c r="I10" i="5"/>
  <c r="I11" i="5"/>
  <c r="C13" i="4"/>
  <c r="C14" i="4"/>
  <c r="C15" i="4"/>
  <c r="C16" i="4"/>
  <c r="C17" i="4"/>
  <c r="C9" i="4"/>
  <c r="C10" i="4"/>
  <c r="C11" i="4"/>
  <c r="D8" i="4"/>
  <c r="D13" i="4"/>
  <c r="D14" i="4"/>
  <c r="D15" i="4"/>
  <c r="D16" i="4"/>
  <c r="D17" i="4"/>
  <c r="D9" i="4"/>
  <c r="D10" i="4"/>
  <c r="D11" i="4"/>
  <c r="E8" i="4"/>
  <c r="E13" i="4"/>
  <c r="E14" i="4"/>
  <c r="E15" i="4"/>
  <c r="E16" i="4"/>
  <c r="E17" i="4"/>
  <c r="E9" i="4"/>
  <c r="E10" i="4"/>
  <c r="E11" i="4"/>
  <c r="F8" i="4"/>
  <c r="F13" i="4"/>
  <c r="F14" i="4"/>
  <c r="F15" i="4"/>
  <c r="F16" i="4"/>
  <c r="F17" i="4"/>
  <c r="F9" i="4"/>
  <c r="F10" i="4"/>
  <c r="F11" i="4"/>
  <c r="G8" i="4"/>
  <c r="G13" i="4"/>
  <c r="G14" i="4"/>
  <c r="G15" i="4"/>
  <c r="G16" i="4"/>
  <c r="G17" i="4"/>
  <c r="G9" i="4"/>
  <c r="G10" i="4"/>
  <c r="G11" i="4"/>
  <c r="H8" i="4"/>
  <c r="H13" i="4"/>
  <c r="H14" i="4"/>
  <c r="H15" i="4"/>
  <c r="H16" i="4"/>
  <c r="H17" i="4"/>
  <c r="H9" i="4"/>
  <c r="H10" i="4"/>
  <c r="H11" i="4"/>
  <c r="I8" i="4"/>
  <c r="I13" i="4"/>
  <c r="I14" i="4"/>
  <c r="I15" i="4"/>
  <c r="I16" i="4"/>
  <c r="I17" i="4"/>
  <c r="I9" i="4"/>
  <c r="I10" i="4"/>
  <c r="I11" i="4"/>
  <c r="J8" i="4"/>
  <c r="J13" i="4"/>
  <c r="J14" i="4"/>
  <c r="J15" i="4"/>
  <c r="J17" i="4"/>
  <c r="J9" i="4"/>
  <c r="J10" i="4"/>
  <c r="J11" i="4"/>
  <c r="K8" i="4"/>
  <c r="K13" i="4"/>
  <c r="K14" i="4"/>
  <c r="K15" i="4"/>
  <c r="K17" i="4"/>
  <c r="K9" i="4"/>
  <c r="K10" i="4"/>
  <c r="K11" i="4"/>
  <c r="L8" i="4"/>
  <c r="L13" i="4"/>
  <c r="L14" i="4"/>
  <c r="L15" i="4"/>
  <c r="L17" i="4"/>
  <c r="L9" i="4"/>
  <c r="L10" i="4"/>
  <c r="L11" i="4"/>
  <c r="M8" i="4"/>
  <c r="M13" i="4"/>
  <c r="M14" i="4"/>
  <c r="M15" i="4"/>
  <c r="M17" i="4"/>
  <c r="B18" i="4"/>
  <c r="N17" i="4"/>
  <c r="B20" i="4"/>
  <c r="B19" i="4"/>
  <c r="B21" i="4"/>
  <c r="M9" i="4"/>
  <c r="M10" i="4"/>
  <c r="M11" i="4"/>
</calcChain>
</file>

<file path=xl/sharedStrings.xml><?xml version="1.0" encoding="utf-8"?>
<sst xmlns="http://schemas.openxmlformats.org/spreadsheetml/2006/main" count="112" uniqueCount="51">
  <si>
    <t>ROE</t>
  </si>
  <si>
    <t>Div rate</t>
  </si>
  <si>
    <t>ke</t>
  </si>
  <si>
    <t>Beg BV</t>
  </si>
  <si>
    <t>NI</t>
  </si>
  <si>
    <t>-Div</t>
  </si>
  <si>
    <t>End BV</t>
  </si>
  <si>
    <t>Abnormal Earnings</t>
  </si>
  <si>
    <t>Discount factor</t>
  </si>
  <si>
    <t>PV</t>
  </si>
  <si>
    <t>SUM of PV</t>
  </si>
  <si>
    <t>PV of TV</t>
  </si>
  <si>
    <t>Firm Value</t>
  </si>
  <si>
    <t>needed if you use Terminal Value</t>
  </si>
  <si>
    <t>growth rate (g)</t>
  </si>
  <si>
    <t>TV if assumed</t>
  </si>
  <si>
    <t>Formula: last Abnormal Earnings*(1+g)/(ke-g)</t>
  </si>
  <si>
    <t>Actual Earnings (NI)</t>
  </si>
  <si>
    <t>Expected Earnings (re * BVE)</t>
  </si>
  <si>
    <t>Sensitivity Analysis: Longer Horizon</t>
  </si>
  <si>
    <t>Sensitivity Analysis: Adding Terminal Value</t>
  </si>
  <si>
    <t>Baseline Forecast</t>
  </si>
  <si>
    <t>Inputs to be estimated</t>
  </si>
  <si>
    <t>Value per Share</t>
  </si>
  <si>
    <t>Beg BV (In Millions)</t>
  </si>
  <si>
    <t xml:space="preserve">Assumptions for Key Inputs </t>
  </si>
  <si>
    <t xml:space="preserve">Forecast for 7 Years </t>
  </si>
  <si>
    <t>Fiscal Year Ending 31st Jan 2025</t>
  </si>
  <si>
    <t>Fiscal Year Ending 31st Jan 2026</t>
  </si>
  <si>
    <t>Fiscal Year Ending 31st Jan 2027</t>
  </si>
  <si>
    <t>Fiscal Year Ending 31st Jan 2028</t>
  </si>
  <si>
    <t>Fiscal Year Ending 31st Jan 2029</t>
  </si>
  <si>
    <t>Fiscal Year Ending 31st Jan 2030</t>
  </si>
  <si>
    <t>Fiscal Year Ending 31st Jan 2031</t>
  </si>
  <si>
    <t>Fiscal Year Ending 31st Jan 2032</t>
  </si>
  <si>
    <t>Base Year  (Latest Financials)</t>
  </si>
  <si>
    <t>Beginning Book Value as on 31st Jan 2025 (In Millions)</t>
  </si>
  <si>
    <t>Forecast Years starts  From</t>
  </si>
  <si>
    <t>Note : Walmart's latest full-year financials are for fiscal year ending Jan 31, 2025</t>
  </si>
  <si>
    <t>Shares of Common Stock Outstanding as of March 12, 2025</t>
  </si>
  <si>
    <t>Shares of Common Stock Outstanding as of March 12, 2025 (In Millions)</t>
  </si>
  <si>
    <t>Fiscal Year Ending 31st Jan 2033</t>
  </si>
  <si>
    <t>in 2025 (As Fiscal Year Ended on 31st Jan 2025 for 2024)</t>
  </si>
  <si>
    <t>Forecast for 11 Years</t>
  </si>
  <si>
    <t xml:space="preserve">I believe Walmart will grow slightly faster than inflation as the Industry is growing </t>
  </si>
  <si>
    <t>(8,016,849,444 number of shares outstanding used)</t>
  </si>
  <si>
    <t>Current Stock Price: (As of April 29, 2025)</t>
  </si>
  <si>
    <t>Projection</t>
  </si>
  <si>
    <t>Overvalued</t>
  </si>
  <si>
    <t>Current stock price is greater than the Value per share</t>
  </si>
  <si>
    <t>Value per share is greater than the current stock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</si>
</sst>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0"/>
    <numFmt numFmtId="165" formatCode="0.0000"/>
    <numFmt numFmtId="166" formatCode="[$$-45C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1" fontId="0" fillId="0" borderId="0" xfId="0" applyNumberFormat="1"/>
    <xf numFmtId="0" fontId="0" fillId="0" borderId="0" xfId="0" quotePrefix="1"/>
    <xf numFmtId="0" fontId="0" fillId="0" borderId="4" xfId="0" applyBorder="1"/>
    <xf numFmtId="1" fontId="0" fillId="0" borderId="7" xfId="0" applyNumberFormat="1" applyBorder="1"/>
    <xf numFmtId="164" fontId="0" fillId="0" borderId="7" xfId="0" applyNumberFormat="1" applyBorder="1"/>
    <xf numFmtId="0" fontId="0" fillId="0" borderId="7" xfId="0" applyBorder="1" applyAlignment="1">
      <alignment horizontal="left"/>
    </xf>
    <xf numFmtId="0" fontId="0" fillId="2" borderId="2" xfId="0" applyFill="1" applyBorder="1"/>
    <xf numFmtId="0" fontId="0" fillId="2" borderId="6" xfId="0" applyFill="1" applyBorder="1"/>
    <xf numFmtId="1" fontId="0" fillId="3" borderId="0" xfId="0" applyNumberFormat="1" applyFill="1"/>
    <xf numFmtId="1" fontId="0" fillId="4" borderId="0" xfId="0" applyNumberFormat="1" applyFill="1"/>
    <xf numFmtId="0" fontId="1" fillId="2" borderId="0" xfId="0" applyFont="1" applyFill="1"/>
    <xf numFmtId="0" fontId="0" fillId="2" borderId="0" xfId="0" applyFill="1"/>
    <xf numFmtId="165" fontId="0" fillId="2" borderId="4" xfId="0" applyNumberFormat="1" applyFill="1" applyBorder="1"/>
    <xf numFmtId="0" fontId="1" fillId="0" borderId="7" xfId="0" applyFont="1" applyBorder="1" applyAlignment="1">
      <alignment wrapText="1"/>
    </xf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0" fillId="0" borderId="0" xfId="0" applyAlignment="1">
      <alignment wrapText="1"/>
    </xf>
    <xf numFmtId="3" fontId="0" fillId="0" borderId="0" xfId="0" applyNumberFormat="1"/>
    <xf numFmtId="0" fontId="4" fillId="0" borderId="0" xfId="0" applyFont="1"/>
    <xf numFmtId="0" fontId="1" fillId="3" borderId="7" xfId="0" applyFont="1" applyFill="1" applyBorder="1" applyAlignment="1">
      <alignment wrapText="1"/>
    </xf>
    <xf numFmtId="43" fontId="0" fillId="2" borderId="4" xfId="1" applyFont="1" applyFill="1" applyBorder="1"/>
    <xf numFmtId="9" fontId="0" fillId="0" borderId="0" xfId="1" applyNumberFormat="1" applyFont="1" applyFill="1" applyBorder="1"/>
    <xf numFmtId="166" fontId="0" fillId="0" borderId="8" xfId="0" applyNumberFormat="1" applyBorder="1"/>
    <xf numFmtId="0" fontId="1" fillId="0" borderId="0" xfId="0" applyFont="1"/>
    <xf numFmtId="166" fontId="0" fillId="5" borderId="8" xfId="0" applyNumberFormat="1" applyFill="1" applyBorder="1"/>
    <xf numFmtId="166" fontId="0" fillId="6" borderId="8" xfId="0" applyNumberFormat="1" applyFill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28754</xdr:colOff>
      <xdr:row>0</xdr:row>
      <xdr:rowOff>0</xdr:rowOff>
    </xdr:from>
    <xdr:to>
      <xdr:col>24</xdr:col>
      <xdr:colOff>323490</xdr:colOff>
      <xdr:row>20</xdr:row>
      <xdr:rowOff>71887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9A9E2A-E2EE-2CE9-6DC8-75841235A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08792" y="0"/>
          <a:ext cx="4572000" cy="3968151"/>
        </a:xfrm>
        <a:prstGeom prst="rect">
          <a:avLst/>
        </a:prstGeom>
      </xdr:spPr>
    </xdr:pic>
    <xdr:clientData/>
  </xdr:twoCellAnchor>
  <xdr:twoCellAnchor editAs="oneCell">
    <xdr:from>
      <xdr:col>24</xdr:col>
      <xdr:colOff>273170</xdr:colOff>
      <xdr:row>0</xdr:row>
      <xdr:rowOff>0</xdr:rowOff>
    </xdr:from>
    <xdr:to>
      <xdr:col>31</xdr:col>
      <xdr:colOff>452888</xdr:colOff>
      <xdr:row>19</xdr:row>
      <xdr:rowOff>43132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24570C-A8C6-7CEE-153B-134B859D6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30472" y="0"/>
          <a:ext cx="4456982" cy="3759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A79D-65C9-4BAA-B5DA-5BC4FFFE680B}">
  <sheetPr>
    <tabColor theme="5" tint="0.39997558519241921"/>
  </sheetPr>
  <dimension ref="A1:P27"/>
  <sheetViews>
    <sheetView zoomScale="85" zoomScaleNormal="150" workbookViewId="0">
      <selection activeCell="N23" sqref="N23"/>
    </sheetView>
  </sheetViews>
  <sheetFormatPr defaultColWidth="8.88671875" defaultRowHeight="14.4" x14ac:dyDescent="0.3"/>
  <cols>
    <col min="1" max="1" width="36.44140625" customWidth="1"/>
    <col min="2" max="2" width="10.33203125" bestFit="1" customWidth="1"/>
    <col min="3" max="9" width="16.88671875" customWidth="1"/>
    <col min="10" max="10" width="12.77734375" customWidth="1"/>
    <col min="15" max="15" width="58.6640625" customWidth="1"/>
    <col min="16" max="16" width="27.21875" bestFit="1" customWidth="1"/>
  </cols>
  <sheetData>
    <row r="1" spans="1:16" x14ac:dyDescent="0.3">
      <c r="A1" s="18" t="s">
        <v>0</v>
      </c>
      <c r="B1" s="10">
        <f>21.41/100</f>
        <v>0.21410000000000001</v>
      </c>
      <c r="C1" s="5" t="s">
        <v>22</v>
      </c>
      <c r="F1" s="14" t="s">
        <v>21</v>
      </c>
      <c r="G1" s="15"/>
      <c r="O1" s="14" t="s">
        <v>38</v>
      </c>
      <c r="P1" s="15"/>
    </row>
    <row r="2" spans="1:16" x14ac:dyDescent="0.3">
      <c r="A2" s="19" t="s">
        <v>1</v>
      </c>
      <c r="B2" s="16">
        <f>34.4/100</f>
        <v>0.34399999999999997</v>
      </c>
    </row>
    <row r="3" spans="1:16" ht="15" thickBot="1" x14ac:dyDescent="0.35">
      <c r="A3" s="20" t="s">
        <v>2</v>
      </c>
      <c r="B3" s="11">
        <f>6.12/100</f>
        <v>6.1200000000000004E-2</v>
      </c>
    </row>
    <row r="4" spans="1:16" x14ac:dyDescent="0.3">
      <c r="A4" s="19" t="s">
        <v>14</v>
      </c>
      <c r="B4" s="6" t="s">
        <v>13</v>
      </c>
    </row>
    <row r="5" spans="1:16" ht="17.399999999999999" x14ac:dyDescent="0.35">
      <c r="O5" s="23" t="s">
        <v>25</v>
      </c>
    </row>
    <row r="6" spans="1:16" ht="15.6" x14ac:dyDescent="0.3">
      <c r="C6" s="31" t="s">
        <v>26</v>
      </c>
      <c r="D6" s="31"/>
      <c r="E6" s="31"/>
      <c r="F6" s="31"/>
      <c r="G6" s="31"/>
      <c r="H6" s="31"/>
      <c r="I6" s="31"/>
      <c r="O6" t="s">
        <v>35</v>
      </c>
      <c r="P6" t="s">
        <v>27</v>
      </c>
    </row>
    <row r="7" spans="1:16" ht="31.8" customHeight="1" x14ac:dyDescent="0.3">
      <c r="C7" s="17" t="s">
        <v>28</v>
      </c>
      <c r="D7" s="17" t="s">
        <v>29</v>
      </c>
      <c r="E7" s="17" t="s">
        <v>30</v>
      </c>
      <c r="F7" s="17" t="s">
        <v>31</v>
      </c>
      <c r="G7" s="17" t="s">
        <v>32</v>
      </c>
      <c r="H7" s="17" t="s">
        <v>33</v>
      </c>
      <c r="I7" s="17" t="s">
        <v>34</v>
      </c>
      <c r="J7" s="9" t="s">
        <v>15</v>
      </c>
      <c r="O7" s="21" t="s">
        <v>36</v>
      </c>
      <c r="P7">
        <v>97421</v>
      </c>
    </row>
    <row r="8" spans="1:16" x14ac:dyDescent="0.3">
      <c r="A8" t="s">
        <v>24</v>
      </c>
      <c r="C8" s="12">
        <v>97421</v>
      </c>
      <c r="D8" s="4">
        <f>C11</f>
        <v>111103.74048160001</v>
      </c>
      <c r="E8" s="4">
        <f>D11</f>
        <v>126708.21639074452</v>
      </c>
      <c r="F8" s="4">
        <f t="shared" ref="F8:H8" si="0">E11</f>
        <v>144504.33469953804</v>
      </c>
      <c r="G8" s="4">
        <f t="shared" si="0"/>
        <v>164799.91070635431</v>
      </c>
      <c r="H8" s="4">
        <f t="shared" si="0"/>
        <v>187945.99224509747</v>
      </c>
      <c r="I8" s="4">
        <f>H11</f>
        <v>214342.93167752452</v>
      </c>
      <c r="J8" s="4"/>
      <c r="O8" t="s">
        <v>37</v>
      </c>
      <c r="P8" t="s">
        <v>28</v>
      </c>
    </row>
    <row r="9" spans="1:16" x14ac:dyDescent="0.3">
      <c r="A9" t="s">
        <v>4</v>
      </c>
      <c r="C9" s="4">
        <f>$B$1*C8</f>
        <v>20857.8361</v>
      </c>
      <c r="D9" s="4">
        <f>$B$1*D8</f>
        <v>23787.310837110563</v>
      </c>
      <c r="E9" s="4">
        <f t="shared" ref="E9:H9" si="1">$B$1*E8</f>
        <v>27128.229129258405</v>
      </c>
      <c r="F9" s="4">
        <f t="shared" si="1"/>
        <v>30938.378059171097</v>
      </c>
      <c r="G9" s="4">
        <f t="shared" si="1"/>
        <v>35283.660882230455</v>
      </c>
      <c r="H9" s="4">
        <f t="shared" si="1"/>
        <v>40239.236939675371</v>
      </c>
      <c r="I9" s="4">
        <f>$B$1*I8</f>
        <v>45890.821672158003</v>
      </c>
      <c r="O9" t="s">
        <v>39</v>
      </c>
      <c r="P9" s="22">
        <v>8016849444</v>
      </c>
    </row>
    <row r="10" spans="1:16" x14ac:dyDescent="0.3">
      <c r="A10" s="5" t="s">
        <v>5</v>
      </c>
      <c r="C10" s="7">
        <f>$B$2*C9</f>
        <v>7175.0956183999997</v>
      </c>
      <c r="D10" s="7">
        <f>$B$2*D9</f>
        <v>8182.8349279660333</v>
      </c>
      <c r="E10" s="7">
        <f t="shared" ref="E10:I10" si="2">$B$2*E9</f>
        <v>9332.1108204648899</v>
      </c>
      <c r="F10" s="7">
        <f t="shared" si="2"/>
        <v>10642.802052354857</v>
      </c>
      <c r="G10" s="7">
        <f t="shared" si="2"/>
        <v>12137.579343487276</v>
      </c>
      <c r="H10" s="7">
        <f t="shared" si="2"/>
        <v>13842.297507248326</v>
      </c>
      <c r="I10" s="7">
        <f t="shared" si="2"/>
        <v>15786.442655222352</v>
      </c>
      <c r="O10" t="s">
        <v>40</v>
      </c>
      <c r="P10">
        <f>P9/1000000</f>
        <v>8016.8494440000004</v>
      </c>
    </row>
    <row r="11" spans="1:16" x14ac:dyDescent="0.3">
      <c r="A11" t="s">
        <v>6</v>
      </c>
      <c r="C11" s="4">
        <f>C8+C9-C10</f>
        <v>111103.74048160001</v>
      </c>
      <c r="D11" s="4">
        <f>D8+D9-D10</f>
        <v>126708.21639074452</v>
      </c>
      <c r="E11" s="4">
        <f t="shared" ref="E11:H11" si="3">E8+E9-E10</f>
        <v>144504.33469953804</v>
      </c>
      <c r="F11" s="4">
        <f t="shared" si="3"/>
        <v>164799.91070635431</v>
      </c>
      <c r="G11" s="4">
        <f t="shared" si="3"/>
        <v>187945.99224509747</v>
      </c>
      <c r="H11" s="4">
        <f t="shared" si="3"/>
        <v>214342.93167752452</v>
      </c>
      <c r="I11" s="4">
        <f>I8+I9-I10</f>
        <v>244447.31069446018</v>
      </c>
    </row>
    <row r="12" spans="1:16" x14ac:dyDescent="0.3">
      <c r="D12" s="4"/>
      <c r="E12" s="4"/>
      <c r="F12" s="4"/>
      <c r="G12" s="4"/>
      <c r="H12" s="4"/>
      <c r="I12" s="4"/>
    </row>
    <row r="13" spans="1:16" x14ac:dyDescent="0.3">
      <c r="A13" t="s">
        <v>17</v>
      </c>
      <c r="C13" s="4">
        <f>$B$1*C8</f>
        <v>20857.8361</v>
      </c>
      <c r="D13" s="4">
        <f>$B$1*D8</f>
        <v>23787.310837110563</v>
      </c>
      <c r="E13" s="4">
        <f>$B$1*E8</f>
        <v>27128.229129258405</v>
      </c>
      <c r="F13" s="4">
        <f t="shared" ref="F13:I13" si="4">$B$1*F8</f>
        <v>30938.378059171097</v>
      </c>
      <c r="G13" s="4">
        <f t="shared" si="4"/>
        <v>35283.660882230455</v>
      </c>
      <c r="H13" s="4">
        <f t="shared" si="4"/>
        <v>40239.236939675371</v>
      </c>
      <c r="I13" s="4">
        <f t="shared" si="4"/>
        <v>45890.821672158003</v>
      </c>
      <c r="J13" s="4"/>
      <c r="K13" s="4"/>
    </row>
    <row r="14" spans="1:16" x14ac:dyDescent="0.3">
      <c r="A14" t="s">
        <v>18</v>
      </c>
      <c r="C14" s="7">
        <f>$B$3*C8</f>
        <v>5962.1652000000004</v>
      </c>
      <c r="D14" s="7">
        <f>$B$3*D8</f>
        <v>6799.5489174739205</v>
      </c>
      <c r="E14" s="7">
        <f>$B$3*E8</f>
        <v>7754.5428431135651</v>
      </c>
      <c r="F14" s="7">
        <f t="shared" ref="F14:I14" si="5">$B$3*F8</f>
        <v>8843.6652836117282</v>
      </c>
      <c r="G14" s="7">
        <f t="shared" si="5"/>
        <v>10085.754535228883</v>
      </c>
      <c r="H14" s="7">
        <f t="shared" si="5"/>
        <v>11502.294725399966</v>
      </c>
      <c r="I14" s="7">
        <f t="shared" si="5"/>
        <v>13117.787418664502</v>
      </c>
      <c r="J14" s="7"/>
    </row>
    <row r="15" spans="1:16" x14ac:dyDescent="0.3">
      <c r="A15" t="s">
        <v>7</v>
      </c>
      <c r="C15" s="12">
        <f>C13-C14</f>
        <v>14895.670900000001</v>
      </c>
      <c r="D15" s="12">
        <f>D13-D14</f>
        <v>16987.761919636643</v>
      </c>
      <c r="E15" s="12">
        <f>E13-E14</f>
        <v>19373.686286144839</v>
      </c>
      <c r="F15" s="12">
        <f t="shared" ref="F15:I15" si="6">F13-F14</f>
        <v>22094.712775559368</v>
      </c>
      <c r="G15" s="12">
        <f t="shared" si="6"/>
        <v>25197.906347001572</v>
      </c>
      <c r="H15" s="12">
        <f t="shared" si="6"/>
        <v>28736.942214275405</v>
      </c>
      <c r="I15" s="12">
        <f t="shared" si="6"/>
        <v>32773.034253493504</v>
      </c>
      <c r="J15" s="4">
        <v>0</v>
      </c>
      <c r="K15" s="4"/>
    </row>
    <row r="16" spans="1:16" x14ac:dyDescent="0.3">
      <c r="A16" t="s">
        <v>8</v>
      </c>
      <c r="C16" s="8">
        <f>1/(1+$B$3)^1</f>
        <v>0.94232943837165484</v>
      </c>
      <c r="D16" s="8">
        <f>1/(1+$B$3)^2</f>
        <v>0.88798477042183832</v>
      </c>
      <c r="E16" s="8">
        <f>1/(1+$B$3)^3</f>
        <v>0.83677418999419373</v>
      </c>
      <c r="F16" s="8">
        <f>1/(1+$B$3)^4</f>
        <v>0.78851695250112486</v>
      </c>
      <c r="G16" s="8">
        <f>1/(1+$B$3)^5</f>
        <v>0.74304273699691381</v>
      </c>
      <c r="H16" s="8">
        <f>1/(1+$B$3)^6</f>
        <v>0.70019104504043894</v>
      </c>
      <c r="I16" s="8">
        <f>1/(1+$B$3)^7</f>
        <v>0.65981063422581887</v>
      </c>
      <c r="J16" s="8">
        <f>1/(1+$B$3)^7</f>
        <v>0.65981063422581887</v>
      </c>
    </row>
    <row r="17" spans="1:10" x14ac:dyDescent="0.3">
      <c r="A17" t="s">
        <v>9</v>
      </c>
      <c r="C17" s="4">
        <f>C15*C16</f>
        <v>14036.629193366003</v>
      </c>
      <c r="D17" s="4">
        <f t="shared" ref="D17:I17" si="7">D15*D16</f>
        <v>15084.873868189392</v>
      </c>
      <c r="E17" s="4">
        <f t="shared" si="7"/>
        <v>16211.400649290466</v>
      </c>
      <c r="F17" s="4">
        <f t="shared" si="7"/>
        <v>17422.055584171743</v>
      </c>
      <c r="G17" s="4">
        <f t="shared" si="7"/>
        <v>18723.121298667953</v>
      </c>
      <c r="H17" s="4">
        <f t="shared" si="7"/>
        <v>20121.349600280202</v>
      </c>
      <c r="I17" s="4">
        <f t="shared" si="7"/>
        <v>21623.996516302035</v>
      </c>
      <c r="J17" s="4">
        <f>J15*J16</f>
        <v>0</v>
      </c>
    </row>
    <row r="18" spans="1:10" x14ac:dyDescent="0.3">
      <c r="A18" t="s">
        <v>10</v>
      </c>
      <c r="B18" s="4">
        <f>SUM(C17:I17)</f>
        <v>123223.4267102678</v>
      </c>
      <c r="C18" s="4"/>
      <c r="D18" s="4"/>
      <c r="E18" s="4"/>
      <c r="F18" s="4"/>
      <c r="G18" s="4"/>
      <c r="H18" s="4"/>
      <c r="I18" s="4"/>
    </row>
    <row r="19" spans="1:10" x14ac:dyDescent="0.3">
      <c r="A19" t="s">
        <v>3</v>
      </c>
      <c r="B19" s="4">
        <f>C8</f>
        <v>97421</v>
      </c>
      <c r="C19" s="4"/>
      <c r="D19" s="4"/>
      <c r="E19" s="4"/>
      <c r="F19" s="4"/>
      <c r="G19" s="4"/>
      <c r="H19" s="4"/>
      <c r="I19" s="4"/>
    </row>
    <row r="20" spans="1:10" x14ac:dyDescent="0.3">
      <c r="A20" t="s">
        <v>11</v>
      </c>
      <c r="B20" s="4">
        <f>J17</f>
        <v>0</v>
      </c>
      <c r="C20" s="4"/>
      <c r="D20" s="4"/>
      <c r="E20" s="4"/>
      <c r="F20" s="4"/>
      <c r="G20" s="4"/>
      <c r="H20" s="4"/>
      <c r="I20" s="4"/>
    </row>
    <row r="21" spans="1:10" ht="15" thickBot="1" x14ac:dyDescent="0.35">
      <c r="A21" t="s">
        <v>12</v>
      </c>
      <c r="B21" s="4">
        <f>SUM(B18:B20)</f>
        <v>220644.42671026778</v>
      </c>
      <c r="C21" s="4"/>
      <c r="D21" s="4"/>
      <c r="E21" s="4"/>
      <c r="F21" s="4"/>
      <c r="G21" s="4"/>
      <c r="H21" s="4"/>
      <c r="I21" s="4"/>
    </row>
    <row r="22" spans="1:10" ht="15" thickBot="1" x14ac:dyDescent="0.35">
      <c r="A22" t="s">
        <v>23</v>
      </c>
      <c r="B22" s="27">
        <f>B21/8016.85</f>
        <v>27.522583896451572</v>
      </c>
      <c r="C22" s="4" t="s">
        <v>45</v>
      </c>
      <c r="D22" s="4"/>
      <c r="E22" s="4"/>
      <c r="F22" s="4"/>
      <c r="G22" s="4"/>
      <c r="H22" s="4"/>
      <c r="I22" s="4"/>
    </row>
    <row r="23" spans="1:10" ht="27.6" customHeight="1" x14ac:dyDescent="0.3">
      <c r="A23" s="21" t="s">
        <v>42</v>
      </c>
      <c r="C23" s="4"/>
      <c r="D23" s="4"/>
      <c r="E23" s="4"/>
      <c r="F23" s="4"/>
      <c r="G23" s="4"/>
      <c r="H23" s="4"/>
      <c r="I23" s="4"/>
    </row>
    <row r="24" spans="1:10" ht="15" thickBot="1" x14ac:dyDescent="0.35"/>
    <row r="25" spans="1:10" ht="15" thickBot="1" x14ac:dyDescent="0.35">
      <c r="A25" t="s">
        <v>46</v>
      </c>
      <c r="B25" s="30">
        <v>95.7</v>
      </c>
    </row>
    <row r="27" spans="1:10" x14ac:dyDescent="0.3">
      <c r="A27" s="28" t="s">
        <v>47</v>
      </c>
      <c r="B27" t="s">
        <v>48</v>
      </c>
      <c r="C27" t="s">
        <v>49</v>
      </c>
    </row>
  </sheetData>
  <mergeCells count="1">
    <mergeCell ref="C6:I6"/>
  </mergeCells>
  <pageMargins left="0.7" right="0.7" top="0.75" bottom="0.75" header="0.3" footer="0.3"/>
  <pageSetup scale="85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791D-C81F-4F8A-924E-BF349CB2EB17}">
  <sheetPr>
    <tabColor theme="5" tint="0.39997558519241921"/>
  </sheetPr>
  <dimension ref="A1:O27"/>
  <sheetViews>
    <sheetView zoomScale="71" zoomScaleNormal="150" workbookViewId="0">
      <selection activeCell="O16" sqref="O16"/>
    </sheetView>
  </sheetViews>
  <sheetFormatPr defaultColWidth="8.88671875" defaultRowHeight="14.4" x14ac:dyDescent="0.3"/>
  <cols>
    <col min="1" max="1" width="37.21875" bestFit="1" customWidth="1"/>
    <col min="2" max="2" width="10.77734375" bestFit="1" customWidth="1"/>
    <col min="3" max="3" width="19.6640625" customWidth="1"/>
    <col min="4" max="4" width="18.21875" customWidth="1"/>
    <col min="5" max="5" width="16.5546875" customWidth="1"/>
    <col min="6" max="6" width="17.33203125" customWidth="1"/>
    <col min="7" max="7" width="17.21875" customWidth="1"/>
    <col min="8" max="8" width="18.44140625" customWidth="1"/>
    <col min="9" max="9" width="17.109375" customWidth="1"/>
    <col min="10" max="13" width="16.6640625" customWidth="1"/>
    <col min="14" max="14" width="14.6640625" customWidth="1"/>
  </cols>
  <sheetData>
    <row r="1" spans="1:15" x14ac:dyDescent="0.3">
      <c r="A1" s="1" t="s">
        <v>0</v>
      </c>
      <c r="B1" s="10">
        <f>'Baseline Forecast '!B1</f>
        <v>0.21410000000000001</v>
      </c>
      <c r="C1" s="5" t="s">
        <v>22</v>
      </c>
      <c r="F1" s="14" t="s">
        <v>19</v>
      </c>
      <c r="G1" s="15"/>
      <c r="H1" s="15"/>
      <c r="I1" s="15"/>
    </row>
    <row r="2" spans="1:15" x14ac:dyDescent="0.3">
      <c r="A2" s="2" t="s">
        <v>1</v>
      </c>
      <c r="B2" s="16">
        <f>'Baseline Forecast '!B2</f>
        <v>0.34399999999999997</v>
      </c>
    </row>
    <row r="3" spans="1:15" ht="15" thickBot="1" x14ac:dyDescent="0.35">
      <c r="A3" s="3" t="s">
        <v>2</v>
      </c>
      <c r="B3" s="11">
        <f>'Baseline Forecast '!B3</f>
        <v>6.1200000000000004E-2</v>
      </c>
    </row>
    <row r="4" spans="1:15" x14ac:dyDescent="0.3">
      <c r="A4" s="2" t="s">
        <v>14</v>
      </c>
      <c r="B4" s="6" t="s">
        <v>13</v>
      </c>
    </row>
    <row r="6" spans="1:15" ht="17.399999999999999" x14ac:dyDescent="0.35">
      <c r="C6" s="32" t="s">
        <v>43</v>
      </c>
      <c r="D6" s="32"/>
      <c r="E6" s="32"/>
      <c r="F6" s="32"/>
      <c r="G6" s="32"/>
      <c r="H6" s="32"/>
      <c r="I6" s="32"/>
      <c r="J6" s="32"/>
      <c r="K6" s="32"/>
      <c r="L6" s="32"/>
      <c r="M6" s="32"/>
    </row>
    <row r="7" spans="1:15" ht="28.8" x14ac:dyDescent="0.3">
      <c r="C7" s="17" t="str">
        <f>'Baseline Forecast '!C7</f>
        <v>Fiscal Year Ending 31st Jan 2026</v>
      </c>
      <c r="D7" s="17" t="str">
        <f>'Baseline Forecast '!D7</f>
        <v>Fiscal Year Ending 31st Jan 2027</v>
      </c>
      <c r="E7" s="17" t="str">
        <f>'Baseline Forecast '!E7</f>
        <v>Fiscal Year Ending 31st Jan 2028</v>
      </c>
      <c r="F7" s="17" t="str">
        <f>'Baseline Forecast '!F7</f>
        <v>Fiscal Year Ending 31st Jan 2029</v>
      </c>
      <c r="G7" s="17" t="str">
        <f>'Baseline Forecast '!G7</f>
        <v>Fiscal Year Ending 31st Jan 2030</v>
      </c>
      <c r="H7" s="17" t="str">
        <f>'Baseline Forecast '!H7</f>
        <v>Fiscal Year Ending 31st Jan 2031</v>
      </c>
      <c r="I7" s="17" t="str">
        <f>'Baseline Forecast '!I7</f>
        <v>Fiscal Year Ending 31st Jan 2032</v>
      </c>
      <c r="J7" s="24" t="s">
        <v>41</v>
      </c>
      <c r="K7" s="24" t="s">
        <v>41</v>
      </c>
      <c r="L7" s="24" t="s">
        <v>41</v>
      </c>
      <c r="M7" s="24" t="s">
        <v>41</v>
      </c>
      <c r="N7" s="9" t="s">
        <v>15</v>
      </c>
    </row>
    <row r="8" spans="1:15" x14ac:dyDescent="0.3">
      <c r="A8" t="s">
        <v>3</v>
      </c>
      <c r="C8" s="12">
        <f>'Baseline Forecast '!C8</f>
        <v>97421</v>
      </c>
      <c r="D8" s="4">
        <f>C11</f>
        <v>111103.74048160001</v>
      </c>
      <c r="E8" s="4">
        <f>D11</f>
        <v>126708.21639074452</v>
      </c>
      <c r="F8" s="4">
        <f t="shared" ref="F8:H8" si="0">E11</f>
        <v>144504.33469953804</v>
      </c>
      <c r="G8" s="4">
        <f t="shared" si="0"/>
        <v>164799.91070635431</v>
      </c>
      <c r="H8" s="4">
        <f t="shared" si="0"/>
        <v>187945.99224509747</v>
      </c>
      <c r="I8" s="4">
        <f>H11</f>
        <v>214342.93167752452</v>
      </c>
      <c r="J8" s="4">
        <f t="shared" ref="J8:M8" si="1">I11</f>
        <v>244447.31069446018</v>
      </c>
      <c r="K8" s="4">
        <f t="shared" si="1"/>
        <v>278779.83770257281</v>
      </c>
      <c r="L8" s="4">
        <f t="shared" si="1"/>
        <v>317934.35439596407</v>
      </c>
      <c r="M8" s="4">
        <f t="shared" si="1"/>
        <v>362588.10729713546</v>
      </c>
      <c r="N8" s="4"/>
    </row>
    <row r="9" spans="1:15" x14ac:dyDescent="0.3">
      <c r="A9" t="s">
        <v>4</v>
      </c>
      <c r="C9" s="4">
        <f>$B$1*C8</f>
        <v>20857.8361</v>
      </c>
      <c r="D9" s="4">
        <f>$B$1*D8</f>
        <v>23787.310837110563</v>
      </c>
      <c r="E9" s="4">
        <f t="shared" ref="E9:H9" si="2">$B$1*E8</f>
        <v>27128.229129258405</v>
      </c>
      <c r="F9" s="4">
        <f t="shared" si="2"/>
        <v>30938.378059171097</v>
      </c>
      <c r="G9" s="4">
        <f t="shared" si="2"/>
        <v>35283.660882230455</v>
      </c>
      <c r="H9" s="4">
        <f t="shared" si="2"/>
        <v>40239.236939675371</v>
      </c>
      <c r="I9" s="4">
        <f>$B$1*I8</f>
        <v>45890.821672158003</v>
      </c>
      <c r="J9" s="4">
        <f t="shared" ref="J9:M9" si="3">$B$1*J8</f>
        <v>52336.169219683929</v>
      </c>
      <c r="K9" s="4">
        <f t="shared" si="3"/>
        <v>59686.763252120843</v>
      </c>
      <c r="L9" s="4">
        <f t="shared" si="3"/>
        <v>68069.745276175905</v>
      </c>
      <c r="M9" s="4">
        <f t="shared" si="3"/>
        <v>77630.113772316705</v>
      </c>
    </row>
    <row r="10" spans="1:15" x14ac:dyDescent="0.3">
      <c r="A10" s="5" t="s">
        <v>5</v>
      </c>
      <c r="C10" s="7">
        <f>$B$2*C9</f>
        <v>7175.0956183999997</v>
      </c>
      <c r="D10" s="7">
        <f>$B$2*D9</f>
        <v>8182.8349279660333</v>
      </c>
      <c r="E10" s="7">
        <f t="shared" ref="E10:I10" si="4">$B$2*E9</f>
        <v>9332.1108204648899</v>
      </c>
      <c r="F10" s="7">
        <f t="shared" si="4"/>
        <v>10642.802052354857</v>
      </c>
      <c r="G10" s="7">
        <f t="shared" si="4"/>
        <v>12137.579343487276</v>
      </c>
      <c r="H10" s="7">
        <f t="shared" si="4"/>
        <v>13842.297507248326</v>
      </c>
      <c r="I10" s="7">
        <f t="shared" si="4"/>
        <v>15786.442655222352</v>
      </c>
      <c r="J10" s="7">
        <f t="shared" ref="J10:M10" si="5">$B$2*J9</f>
        <v>18003.64221157127</v>
      </c>
      <c r="K10" s="7">
        <f t="shared" si="5"/>
        <v>20532.24655872957</v>
      </c>
      <c r="L10" s="7">
        <f t="shared" si="5"/>
        <v>23415.992375004509</v>
      </c>
      <c r="M10" s="7">
        <f t="shared" si="5"/>
        <v>26704.759137676945</v>
      </c>
    </row>
    <row r="11" spans="1:15" x14ac:dyDescent="0.3">
      <c r="A11" t="s">
        <v>6</v>
      </c>
      <c r="C11" s="4">
        <f>C8+C9-C10</f>
        <v>111103.74048160001</v>
      </c>
      <c r="D11" s="4">
        <f>D8+D9-D10</f>
        <v>126708.21639074452</v>
      </c>
      <c r="E11" s="4">
        <f t="shared" ref="E11:H11" si="6">E8+E9-E10</f>
        <v>144504.33469953804</v>
      </c>
      <c r="F11" s="4">
        <f t="shared" si="6"/>
        <v>164799.91070635431</v>
      </c>
      <c r="G11" s="4">
        <f t="shared" si="6"/>
        <v>187945.99224509747</v>
      </c>
      <c r="H11" s="4">
        <f t="shared" si="6"/>
        <v>214342.93167752452</v>
      </c>
      <c r="I11" s="4">
        <f>I8+I9-I10</f>
        <v>244447.31069446018</v>
      </c>
      <c r="J11" s="4">
        <f t="shared" ref="J11:M11" si="7">J8+J9-J10</f>
        <v>278779.83770257281</v>
      </c>
      <c r="K11" s="4">
        <f t="shared" si="7"/>
        <v>317934.35439596407</v>
      </c>
      <c r="L11" s="4">
        <f t="shared" si="7"/>
        <v>362588.10729713546</v>
      </c>
      <c r="M11" s="4">
        <f t="shared" si="7"/>
        <v>413513.46193177521</v>
      </c>
    </row>
    <row r="12" spans="1:15" x14ac:dyDescent="0.3"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5" x14ac:dyDescent="0.3">
      <c r="A13" t="s">
        <v>17</v>
      </c>
      <c r="C13" s="4">
        <f>$B$1*C8</f>
        <v>20857.8361</v>
      </c>
      <c r="D13" s="4">
        <f>$B$1*D8</f>
        <v>23787.310837110563</v>
      </c>
      <c r="E13" s="4">
        <f>$B$1*E8</f>
        <v>27128.229129258405</v>
      </c>
      <c r="F13" s="4">
        <f t="shared" ref="F13:I13" si="8">$B$1*F8</f>
        <v>30938.378059171097</v>
      </c>
      <c r="G13" s="4">
        <f t="shared" si="8"/>
        <v>35283.660882230455</v>
      </c>
      <c r="H13" s="4">
        <f t="shared" si="8"/>
        <v>40239.236939675371</v>
      </c>
      <c r="I13" s="4">
        <f t="shared" si="8"/>
        <v>45890.821672158003</v>
      </c>
      <c r="J13" s="4">
        <f t="shared" ref="J13:M13" si="9">$B$1*J8</f>
        <v>52336.169219683929</v>
      </c>
      <c r="K13" s="4">
        <f t="shared" si="9"/>
        <v>59686.763252120843</v>
      </c>
      <c r="L13" s="4">
        <f t="shared" si="9"/>
        <v>68069.745276175905</v>
      </c>
      <c r="M13" s="4">
        <f t="shared" si="9"/>
        <v>77630.113772316705</v>
      </c>
      <c r="N13" s="4"/>
      <c r="O13" s="4"/>
    </row>
    <row r="14" spans="1:15" x14ac:dyDescent="0.3">
      <c r="A14" t="s">
        <v>18</v>
      </c>
      <c r="C14" s="7">
        <f>$B$3*C8</f>
        <v>5962.1652000000004</v>
      </c>
      <c r="D14" s="7">
        <f>$B$3*D8</f>
        <v>6799.5489174739205</v>
      </c>
      <c r="E14" s="7">
        <f>$B$3*E8</f>
        <v>7754.5428431135651</v>
      </c>
      <c r="F14" s="7">
        <f t="shared" ref="F14:I14" si="10">$B$3*F8</f>
        <v>8843.6652836117282</v>
      </c>
      <c r="G14" s="7">
        <f t="shared" si="10"/>
        <v>10085.754535228883</v>
      </c>
      <c r="H14" s="7">
        <f t="shared" si="10"/>
        <v>11502.294725399966</v>
      </c>
      <c r="I14" s="7">
        <f t="shared" si="10"/>
        <v>13117.787418664502</v>
      </c>
      <c r="J14" s="7">
        <f t="shared" ref="J14:M14" si="11">$B$3*J8</f>
        <v>14960.175414500964</v>
      </c>
      <c r="K14" s="7">
        <f t="shared" si="11"/>
        <v>17061.326067397458</v>
      </c>
      <c r="L14" s="7">
        <f t="shared" si="11"/>
        <v>19457.582489033</v>
      </c>
      <c r="M14" s="7">
        <f t="shared" si="11"/>
        <v>22190.39216658469</v>
      </c>
      <c r="N14" s="7"/>
    </row>
    <row r="15" spans="1:15" x14ac:dyDescent="0.3">
      <c r="A15" t="s">
        <v>7</v>
      </c>
      <c r="C15" s="12">
        <f>C13-C14</f>
        <v>14895.670900000001</v>
      </c>
      <c r="D15" s="12">
        <f>D13-D14</f>
        <v>16987.761919636643</v>
      </c>
      <c r="E15" s="12">
        <f>E13-E14</f>
        <v>19373.686286144839</v>
      </c>
      <c r="F15" s="12">
        <f t="shared" ref="F15:I15" si="12">F13-F14</f>
        <v>22094.712775559368</v>
      </c>
      <c r="G15" s="12">
        <f t="shared" si="12"/>
        <v>25197.906347001572</v>
      </c>
      <c r="H15" s="12">
        <f t="shared" si="12"/>
        <v>28736.942214275405</v>
      </c>
      <c r="I15" s="12">
        <f t="shared" si="12"/>
        <v>32773.034253493504</v>
      </c>
      <c r="J15" s="12">
        <f t="shared" ref="J15:M15" si="13">J13-J14</f>
        <v>37375.993805182967</v>
      </c>
      <c r="K15" s="12">
        <f t="shared" si="13"/>
        <v>42625.437184723385</v>
      </c>
      <c r="L15" s="12">
        <f t="shared" si="13"/>
        <v>48612.162787142908</v>
      </c>
      <c r="M15" s="12">
        <f t="shared" si="13"/>
        <v>55439.721605732018</v>
      </c>
      <c r="N15" s="4">
        <v>0</v>
      </c>
      <c r="O15" s="4" t="s">
        <v>16</v>
      </c>
    </row>
    <row r="16" spans="1:15" x14ac:dyDescent="0.3">
      <c r="A16" t="s">
        <v>8</v>
      </c>
      <c r="C16" s="8">
        <f>1/(1+$B$3)^1</f>
        <v>0.94232943837165484</v>
      </c>
      <c r="D16" s="8">
        <f>1/(1+$B$3)^2</f>
        <v>0.88798477042183832</v>
      </c>
      <c r="E16" s="8">
        <f>1/(1+$B$3)^3</f>
        <v>0.83677418999419373</v>
      </c>
      <c r="F16" s="8">
        <f>1/(1+$B$3)^4</f>
        <v>0.78851695250112486</v>
      </c>
      <c r="G16" s="8">
        <f>1/(1+$B$3)^5</f>
        <v>0.74304273699691381</v>
      </c>
      <c r="H16" s="8">
        <f>1/(1+$B$3)^6</f>
        <v>0.70019104504043894</v>
      </c>
      <c r="I16" s="8">
        <f>1/(1+$B$3)^7</f>
        <v>0.65981063422581887</v>
      </c>
      <c r="J16" s="8">
        <f>1/(1+$B$3)^8</f>
        <v>0.62175898438166111</v>
      </c>
      <c r="K16" s="8">
        <f>1/(1+$B$3)^9</f>
        <v>0.58590179455490121</v>
      </c>
      <c r="L16" s="8">
        <f>1/(1+$B$3)^10</f>
        <v>0.55211250900386466</v>
      </c>
      <c r="M16" s="8">
        <f>1/(1+$B$3)^11</f>
        <v>0.52027187052757706</v>
      </c>
      <c r="N16" s="8">
        <f>1/(1+$B$3)^11</f>
        <v>0.52027187052757706</v>
      </c>
    </row>
    <row r="17" spans="1:14" x14ac:dyDescent="0.3">
      <c r="A17" t="s">
        <v>9</v>
      </c>
      <c r="C17" s="4">
        <f>C15*C16</f>
        <v>14036.629193366003</v>
      </c>
      <c r="D17" s="4">
        <f t="shared" ref="D17:I17" si="14">D15*D16</f>
        <v>15084.873868189392</v>
      </c>
      <c r="E17" s="4">
        <f t="shared" si="14"/>
        <v>16211.400649290466</v>
      </c>
      <c r="F17" s="4">
        <f t="shared" si="14"/>
        <v>17422.055584171743</v>
      </c>
      <c r="G17" s="4">
        <f t="shared" si="14"/>
        <v>18723.121298667953</v>
      </c>
      <c r="H17" s="4">
        <f t="shared" si="14"/>
        <v>20121.349600280202</v>
      </c>
      <c r="I17" s="4">
        <f t="shared" si="14"/>
        <v>21623.996516302035</v>
      </c>
      <c r="J17" s="4">
        <f t="shared" ref="J17:M17" si="15">J15*J16</f>
        <v>23238.85994856582</v>
      </c>
      <c r="K17" s="4">
        <f t="shared" si="15"/>
        <v>24974.320140216649</v>
      </c>
      <c r="L17" s="4">
        <f t="shared" si="15"/>
        <v>26839.383164513772</v>
      </c>
      <c r="M17" s="4">
        <f t="shared" si="15"/>
        <v>28843.727661342324</v>
      </c>
      <c r="N17" s="4">
        <f>N15*N16</f>
        <v>0</v>
      </c>
    </row>
    <row r="18" spans="1:14" x14ac:dyDescent="0.3">
      <c r="A18" t="s">
        <v>10</v>
      </c>
      <c r="B18" s="4">
        <f>SUM(C17:M17)</f>
        <v>227119.71762490636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4" x14ac:dyDescent="0.3">
      <c r="A19" t="s">
        <v>3</v>
      </c>
      <c r="B19" s="4">
        <f>C8</f>
        <v>97421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4" x14ac:dyDescent="0.3">
      <c r="A20" t="s">
        <v>11</v>
      </c>
      <c r="B20" s="4">
        <f>N17</f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4" ht="15" thickBot="1" x14ac:dyDescent="0.35">
      <c r="A21" t="s">
        <v>12</v>
      </c>
      <c r="B21" s="4">
        <f>SUM(B18:B20)</f>
        <v>324540.71762490633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4" ht="15" thickBot="1" x14ac:dyDescent="0.35">
      <c r="A22" t="s">
        <v>23</v>
      </c>
      <c r="B22" s="27">
        <f>B21/8016.85</f>
        <v>40.482323808591445</v>
      </c>
      <c r="C22" s="4" t="str">
        <f>'Baseline Forecast '!C22</f>
        <v>(8,016,849,444 number of shares outstanding used)</v>
      </c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4" ht="44.4" customHeight="1" x14ac:dyDescent="0.3">
      <c r="A23" s="21" t="str">
        <f>'Baseline Forecast '!A23</f>
        <v>in 2025 (As Fiscal Year Ended on 31st Jan 2025 for 2024)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4" ht="15" thickBot="1" x14ac:dyDescent="0.35"/>
    <row r="25" spans="1:14" ht="15" thickBot="1" x14ac:dyDescent="0.35">
      <c r="A25" t="s">
        <v>46</v>
      </c>
      <c r="B25" s="30">
        <v>95.7</v>
      </c>
    </row>
    <row r="27" spans="1:14" x14ac:dyDescent="0.3">
      <c r="A27" s="28" t="s">
        <v>47</v>
      </c>
      <c r="B27" t="s">
        <v>48</v>
      </c>
      <c r="C27" t="s">
        <v>49</v>
      </c>
    </row>
  </sheetData>
  <mergeCells count="1">
    <mergeCell ref="C6:M6"/>
  </mergeCells>
  <pageMargins left="0.7" right="0.7" top="0.75" bottom="0.75" header="0.3" footer="0.3"/>
  <pageSetup scale="85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F49C-B83F-48F9-9B85-C1E7844C0815}">
  <sheetPr>
    <tabColor theme="4" tint="0.39997558519241921"/>
  </sheetPr>
  <dimension ref="A1:K25"/>
  <sheetViews>
    <sheetView tabSelected="1" zoomScale="74" zoomScaleNormal="112" workbookViewId="0">
      <selection activeCell="C25" sqref="C25"/>
    </sheetView>
  </sheetViews>
  <sheetFormatPr defaultColWidth="8.88671875" defaultRowHeight="14.4" x14ac:dyDescent="0.3"/>
  <cols>
    <col min="1" max="1" width="36.6640625" bestFit="1" customWidth="1"/>
    <col min="2" max="2" width="12.77734375" customWidth="1"/>
    <col min="3" max="9" width="19.109375" customWidth="1"/>
    <col min="10" max="10" width="12.5546875" bestFit="1" customWidth="1"/>
  </cols>
  <sheetData>
    <row r="1" spans="1:11" x14ac:dyDescent="0.3">
      <c r="A1" s="1" t="s">
        <v>0</v>
      </c>
      <c r="B1" s="10">
        <f>'Baseline Forecast '!B1</f>
        <v>0.21410000000000001</v>
      </c>
      <c r="C1" s="5" t="s">
        <v>22</v>
      </c>
      <c r="F1" s="14" t="s">
        <v>20</v>
      </c>
      <c r="G1" s="15"/>
      <c r="H1" s="15"/>
      <c r="I1" s="15"/>
    </row>
    <row r="2" spans="1:11" x14ac:dyDescent="0.3">
      <c r="A2" s="2" t="s">
        <v>1</v>
      </c>
      <c r="B2" s="16">
        <f>'Baseline Forecast '!B2</f>
        <v>0.34399999999999997</v>
      </c>
    </row>
    <row r="3" spans="1:11" ht="15" thickBot="1" x14ac:dyDescent="0.35">
      <c r="A3" s="3" t="s">
        <v>2</v>
      </c>
      <c r="B3" s="11">
        <f>'Baseline Forecast '!B3</f>
        <v>6.1200000000000004E-2</v>
      </c>
    </row>
    <row r="4" spans="1:11" x14ac:dyDescent="0.3">
      <c r="A4" s="2" t="s">
        <v>14</v>
      </c>
      <c r="B4" s="25">
        <v>0.03</v>
      </c>
      <c r="C4" t="s">
        <v>44</v>
      </c>
    </row>
    <row r="5" spans="1:11" x14ac:dyDescent="0.3">
      <c r="B5" s="26"/>
    </row>
    <row r="6" spans="1:11" ht="15.6" x14ac:dyDescent="0.3">
      <c r="C6" s="31" t="s">
        <v>26</v>
      </c>
      <c r="D6" s="31"/>
      <c r="E6" s="31"/>
      <c r="F6" s="31"/>
      <c r="G6" s="31"/>
      <c r="H6" s="31"/>
      <c r="I6" s="31"/>
    </row>
    <row r="7" spans="1:11" ht="28.8" x14ac:dyDescent="0.3">
      <c r="C7" s="17" t="s">
        <v>28</v>
      </c>
      <c r="D7" s="17" t="s">
        <v>29</v>
      </c>
      <c r="E7" s="17" t="s">
        <v>30</v>
      </c>
      <c r="F7" s="17" t="s">
        <v>31</v>
      </c>
      <c r="G7" s="17" t="s">
        <v>32</v>
      </c>
      <c r="H7" s="17" t="s">
        <v>33</v>
      </c>
      <c r="I7" s="17" t="s">
        <v>34</v>
      </c>
      <c r="J7" s="9" t="s">
        <v>15</v>
      </c>
    </row>
    <row r="8" spans="1:11" x14ac:dyDescent="0.3">
      <c r="A8" t="s">
        <v>3</v>
      </c>
      <c r="C8" s="12">
        <f>'Baseline Forecast '!C8</f>
        <v>97421</v>
      </c>
      <c r="D8" s="4">
        <f>C11</f>
        <v>111103.74048160001</v>
      </c>
      <c r="E8" s="4">
        <f>D11</f>
        <v>126708.21639074452</v>
      </c>
      <c r="F8" s="4">
        <f t="shared" ref="F8:H8" si="0">E11</f>
        <v>144504.33469953804</v>
      </c>
      <c r="G8" s="4">
        <f t="shared" si="0"/>
        <v>164799.91070635431</v>
      </c>
      <c r="H8" s="4">
        <f t="shared" si="0"/>
        <v>187945.99224509747</v>
      </c>
      <c r="I8" s="4">
        <f>H11</f>
        <v>214342.93167752452</v>
      </c>
      <c r="J8" s="4"/>
    </row>
    <row r="9" spans="1:11" x14ac:dyDescent="0.3">
      <c r="A9" t="s">
        <v>4</v>
      </c>
      <c r="C9" s="4">
        <f>$B$1*C8</f>
        <v>20857.8361</v>
      </c>
      <c r="D9" s="4">
        <f>$B$1*D8</f>
        <v>23787.310837110563</v>
      </c>
      <c r="E9" s="4">
        <f t="shared" ref="E9:H9" si="1">$B$1*E8</f>
        <v>27128.229129258405</v>
      </c>
      <c r="F9" s="4">
        <f t="shared" si="1"/>
        <v>30938.378059171097</v>
      </c>
      <c r="G9" s="4">
        <f t="shared" si="1"/>
        <v>35283.660882230455</v>
      </c>
      <c r="H9" s="4">
        <f t="shared" si="1"/>
        <v>40239.236939675371</v>
      </c>
      <c r="I9" s="4">
        <f>$B$1*I8</f>
        <v>45890.821672158003</v>
      </c>
    </row>
    <row r="10" spans="1:11" x14ac:dyDescent="0.3">
      <c r="A10" s="5" t="s">
        <v>5</v>
      </c>
      <c r="C10" s="7">
        <f>$B$2*C9</f>
        <v>7175.0956183999997</v>
      </c>
      <c r="D10" s="7">
        <f>$B$2*D9</f>
        <v>8182.8349279660333</v>
      </c>
      <c r="E10" s="7">
        <f t="shared" ref="E10:I10" si="2">$B$2*E9</f>
        <v>9332.1108204648899</v>
      </c>
      <c r="F10" s="7">
        <f t="shared" si="2"/>
        <v>10642.802052354857</v>
      </c>
      <c r="G10" s="7">
        <f t="shared" si="2"/>
        <v>12137.579343487276</v>
      </c>
      <c r="H10" s="7">
        <f t="shared" si="2"/>
        <v>13842.297507248326</v>
      </c>
      <c r="I10" s="7">
        <f t="shared" si="2"/>
        <v>15786.442655222352</v>
      </c>
    </row>
    <row r="11" spans="1:11" x14ac:dyDescent="0.3">
      <c r="A11" t="s">
        <v>6</v>
      </c>
      <c r="C11" s="4">
        <f>C8+C9-C10</f>
        <v>111103.74048160001</v>
      </c>
      <c r="D11" s="4">
        <f>D8+D9-D10</f>
        <v>126708.21639074452</v>
      </c>
      <c r="E11" s="4">
        <f t="shared" ref="E11:H11" si="3">E8+E9-E10</f>
        <v>144504.33469953804</v>
      </c>
      <c r="F11" s="4">
        <f t="shared" si="3"/>
        <v>164799.91070635431</v>
      </c>
      <c r="G11" s="4">
        <f t="shared" si="3"/>
        <v>187945.99224509747</v>
      </c>
      <c r="H11" s="4">
        <f t="shared" si="3"/>
        <v>214342.93167752452</v>
      </c>
      <c r="I11" s="4">
        <f>I8+I9-I10</f>
        <v>244447.31069446018</v>
      </c>
    </row>
    <row r="12" spans="1:11" x14ac:dyDescent="0.3">
      <c r="D12" s="4"/>
      <c r="E12" s="4"/>
      <c r="F12" s="4"/>
      <c r="G12" s="4"/>
      <c r="H12" s="4"/>
      <c r="I12" s="4"/>
    </row>
    <row r="13" spans="1:11" x14ac:dyDescent="0.3">
      <c r="A13" t="s">
        <v>17</v>
      </c>
      <c r="C13" s="4">
        <f>$B$1*C8</f>
        <v>20857.8361</v>
      </c>
      <c r="D13" s="4">
        <f>$B$1*D8</f>
        <v>23787.310837110563</v>
      </c>
      <c r="E13" s="4">
        <f>$B$1*E8</f>
        <v>27128.229129258405</v>
      </c>
      <c r="F13" s="4">
        <f t="shared" ref="F13:I13" si="4">$B$1*F8</f>
        <v>30938.378059171097</v>
      </c>
      <c r="G13" s="4">
        <f t="shared" si="4"/>
        <v>35283.660882230455</v>
      </c>
      <c r="H13" s="4">
        <f t="shared" si="4"/>
        <v>40239.236939675371</v>
      </c>
      <c r="I13" s="4">
        <f t="shared" si="4"/>
        <v>45890.821672158003</v>
      </c>
      <c r="J13" s="4"/>
      <c r="K13" s="4"/>
    </row>
    <row r="14" spans="1:11" x14ac:dyDescent="0.3">
      <c r="A14" t="s">
        <v>18</v>
      </c>
      <c r="C14" s="7">
        <f>$B$3*C8</f>
        <v>5962.1652000000004</v>
      </c>
      <c r="D14" s="7">
        <f>$B$3*D8</f>
        <v>6799.5489174739205</v>
      </c>
      <c r="E14" s="7">
        <f>$B$3*E8</f>
        <v>7754.5428431135651</v>
      </c>
      <c r="F14" s="7">
        <f t="shared" ref="F14:I14" si="5">$B$3*F8</f>
        <v>8843.6652836117282</v>
      </c>
      <c r="G14" s="7">
        <f t="shared" si="5"/>
        <v>10085.754535228883</v>
      </c>
      <c r="H14" s="7">
        <f t="shared" si="5"/>
        <v>11502.294725399966</v>
      </c>
      <c r="I14" s="7">
        <f t="shared" si="5"/>
        <v>13117.787418664502</v>
      </c>
      <c r="J14" s="7"/>
    </row>
    <row r="15" spans="1:11" x14ac:dyDescent="0.3">
      <c r="A15" t="s">
        <v>7</v>
      </c>
      <c r="C15" s="12">
        <f>C13-C14</f>
        <v>14895.670900000001</v>
      </c>
      <c r="D15" s="12">
        <f>D13-D14</f>
        <v>16987.761919636643</v>
      </c>
      <c r="E15" s="12">
        <f>E13-E14</f>
        <v>19373.686286144839</v>
      </c>
      <c r="F15" s="12">
        <f t="shared" ref="F15:I15" si="6">F13-F14</f>
        <v>22094.712775559368</v>
      </c>
      <c r="G15" s="12">
        <f t="shared" si="6"/>
        <v>25197.906347001572</v>
      </c>
      <c r="H15" s="12">
        <f t="shared" si="6"/>
        <v>28736.942214275405</v>
      </c>
      <c r="I15" s="12">
        <f t="shared" si="6"/>
        <v>32773.034253493504</v>
      </c>
      <c r="J15" s="13">
        <f>I15*(1+$B$4)/($B$3-$B$4)</f>
        <v>1081930.2974710995</v>
      </c>
      <c r="K15" s="4" t="s">
        <v>16</v>
      </c>
    </row>
    <row r="16" spans="1:11" x14ac:dyDescent="0.3">
      <c r="A16" t="s">
        <v>8</v>
      </c>
      <c r="C16" s="8">
        <f>1/(1+$B$3)^1</f>
        <v>0.94232943837165484</v>
      </c>
      <c r="D16" s="8">
        <f>1/(1+$B$3)^2</f>
        <v>0.88798477042183832</v>
      </c>
      <c r="E16" s="8">
        <f>1/(1+$B$3)^3</f>
        <v>0.83677418999419373</v>
      </c>
      <c r="F16" s="8">
        <f>1/(1+$B$3)^4</f>
        <v>0.78851695250112486</v>
      </c>
      <c r="G16" s="8">
        <f>1/(1+$B$3)^5</f>
        <v>0.74304273699691381</v>
      </c>
      <c r="H16" s="8">
        <f>1/(1+$B$3)^6</f>
        <v>0.70019104504043894</v>
      </c>
      <c r="I16" s="8">
        <f>1/(1+$B$3)^7</f>
        <v>0.65981063422581887</v>
      </c>
      <c r="J16" s="8">
        <f>1/(1+$B$3)^7</f>
        <v>0.65981063422581887</v>
      </c>
    </row>
    <row r="17" spans="1:10" x14ac:dyDescent="0.3">
      <c r="A17" t="s">
        <v>9</v>
      </c>
      <c r="C17" s="4">
        <f>C15*C16</f>
        <v>14036.629193366003</v>
      </c>
      <c r="D17" s="4">
        <f t="shared" ref="D17:I17" si="7">D15*D16</f>
        <v>15084.873868189392</v>
      </c>
      <c r="E17" s="4">
        <f t="shared" si="7"/>
        <v>16211.400649290466</v>
      </c>
      <c r="F17" s="4">
        <f t="shared" si="7"/>
        <v>17422.055584171743</v>
      </c>
      <c r="G17" s="4">
        <f t="shared" si="7"/>
        <v>18723.121298667953</v>
      </c>
      <c r="H17" s="4">
        <f t="shared" si="7"/>
        <v>20121.349600280202</v>
      </c>
      <c r="I17" s="4">
        <f t="shared" si="7"/>
        <v>21623.996516302035</v>
      </c>
      <c r="J17" s="4">
        <f>J15*J16</f>
        <v>713869.11576253502</v>
      </c>
    </row>
    <row r="18" spans="1:10" x14ac:dyDescent="0.3">
      <c r="A18" t="s">
        <v>10</v>
      </c>
      <c r="B18" s="4">
        <f>SUM(C17:I17)</f>
        <v>123223.4267102678</v>
      </c>
      <c r="C18" s="4"/>
      <c r="D18" s="4"/>
      <c r="E18" s="4"/>
      <c r="F18" s="4"/>
      <c r="G18" s="4"/>
      <c r="H18" s="4"/>
      <c r="I18" s="4"/>
    </row>
    <row r="19" spans="1:10" x14ac:dyDescent="0.3">
      <c r="A19" t="s">
        <v>3</v>
      </c>
      <c r="B19" s="4">
        <f>C8</f>
        <v>97421</v>
      </c>
      <c r="C19" s="4"/>
      <c r="D19" s="4"/>
      <c r="E19" s="4"/>
      <c r="F19" s="4"/>
      <c r="G19" s="4"/>
      <c r="H19" s="4"/>
      <c r="I19" s="4"/>
    </row>
    <row r="20" spans="1:10" x14ac:dyDescent="0.3">
      <c r="A20" t="s">
        <v>11</v>
      </c>
      <c r="B20" s="13">
        <f>J17</f>
        <v>713869.11576253502</v>
      </c>
      <c r="C20" s="4"/>
      <c r="D20" s="4"/>
      <c r="E20" s="4"/>
      <c r="F20" s="4"/>
      <c r="G20" s="4"/>
      <c r="H20" s="4"/>
      <c r="I20" s="4"/>
    </row>
    <row r="21" spans="1:10" ht="15" thickBot="1" x14ac:dyDescent="0.35">
      <c r="A21" t="s">
        <v>12</v>
      </c>
      <c r="B21" s="4">
        <f>SUM(B18:B20)</f>
        <v>934513.5424728028</v>
      </c>
      <c r="C21" s="4"/>
      <c r="D21" s="4"/>
      <c r="E21" s="4"/>
      <c r="F21" s="4"/>
      <c r="G21" s="4"/>
      <c r="H21" s="4"/>
      <c r="I21" s="4"/>
    </row>
    <row r="22" spans="1:10" ht="15" thickBot="1" x14ac:dyDescent="0.35">
      <c r="A22" t="s">
        <v>23</v>
      </c>
      <c r="B22" s="29">
        <f>B21/8016.85</f>
        <v>116.56867004781213</v>
      </c>
      <c r="C22" s="4" t="s">
        <v>45</v>
      </c>
      <c r="D22" s="4"/>
      <c r="E22" s="4"/>
      <c r="F22" s="4"/>
      <c r="G22" s="4"/>
      <c r="H22" s="4"/>
      <c r="I22" s="4"/>
    </row>
    <row r="23" spans="1:10" ht="43.2" x14ac:dyDescent="0.3">
      <c r="A23" s="21" t="s">
        <v>42</v>
      </c>
      <c r="C23" s="4"/>
      <c r="D23" s="4"/>
      <c r="E23" s="4"/>
      <c r="F23" s="4"/>
      <c r="G23" s="4"/>
      <c r="H23" s="4"/>
      <c r="I23" s="4"/>
    </row>
    <row r="24" spans="1:10" ht="15" thickBot="1" x14ac:dyDescent="0.35"/>
    <row r="25" spans="1:10" ht="15" thickBot="1" x14ac:dyDescent="0.35">
      <c r="A25" t="s">
        <v>46</v>
      </c>
      <c r="B25" s="27">
        <v>95.7</v>
      </c>
      <c r="C25" t="s">
        <v>50</v>
      </c>
    </row>
  </sheetData>
  <mergeCells count="1">
    <mergeCell ref="C6:I6"/>
  </mergeCells>
  <pageMargins left="0.7" right="0.7" top="0.75" bottom="0.75" header="0.3" footer="0.3"/>
  <pageSetup scale="8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 Forecast </vt:lpstr>
      <vt:lpstr>Sensitivity Analysis 1</vt:lpstr>
      <vt:lpstr>Sensitivity Analysis 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Yong-Chul Shin</dc:creator>
  <cp:lastModifiedBy>Bhargavi Challa</cp:lastModifiedBy>
  <cp:lastPrinted>2024-04-15T06:01:38Z</cp:lastPrinted>
  <dcterms:created xsi:type="dcterms:W3CDTF">2020-04-06T19:49:23Z</dcterms:created>
  <dcterms:modified xsi:type="dcterms:W3CDTF">2025-06-13T19:30:13Z</dcterms:modified>
</cp:coreProperties>
</file>